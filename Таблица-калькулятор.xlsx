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51596d11786f89/Desktop/Урок 1 питон/А Б тесты/диплом/"/>
    </mc:Choice>
  </mc:AlternateContent>
  <xr:revisionPtr revIDLastSave="4" documentId="11_8A0E5E186B4E05DF11183648C550F9DBCC9AC540" xr6:coauthVersionLast="47" xr6:coauthVersionMax="47" xr10:uidLastSave="{B5E3242F-99B5-402D-AB5A-4B0411993506}"/>
  <bookViews>
    <workbookView xWindow="-110" yWindow="-110" windowWidth="19420" windowHeight="10300" firstSheet="2" activeTab="3" xr2:uid="{00000000-000D-0000-FFFF-FFFF00000000}"/>
  </bookViews>
  <sheets>
    <sheet name="Итог" sheetId="4" r:id="rId1"/>
    <sheet name="negative" sheetId="1" r:id="rId2"/>
    <sheet name="neutral" sheetId="2" r:id="rId3"/>
    <sheet name="positive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2" i="2"/>
  <c r="B7" i="4"/>
  <c r="B6" i="4"/>
  <c r="B5" i="4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2" i="3"/>
  <c r="P2" i="1"/>
  <c r="P3" i="1"/>
  <c r="P4" i="1"/>
</calcChain>
</file>

<file path=xl/sharedStrings.xml><?xml version="1.0" encoding="utf-8"?>
<sst xmlns="http://schemas.openxmlformats.org/spreadsheetml/2006/main" count="155" uniqueCount="42">
  <si>
    <t xml:space="preserve">Вводные данные </t>
  </si>
  <si>
    <t>N</t>
  </si>
  <si>
    <t>MDE</t>
  </si>
  <si>
    <t>Итоговые результаты</t>
  </si>
  <si>
    <t>Прирост выручки</t>
  </si>
  <si>
    <t>Падение выручки</t>
  </si>
  <si>
    <t>Баланс</t>
  </si>
  <si>
    <t>Количество наблюдений</t>
  </si>
  <si>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</si>
  <si>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</si>
  <si>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</si>
  <si>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</si>
  <si>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</si>
  <si>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</si>
  <si>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</si>
  <si>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</si>
  <si>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</si>
  <si>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</si>
  <si>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</si>
  <si>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</si>
  <si>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</si>
  <si>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flag_res</t>
  </si>
  <si>
    <t>rev</t>
  </si>
  <si>
    <t>Волгоград</t>
  </si>
  <si>
    <t>negative</t>
  </si>
  <si>
    <t>Краснодар</t>
  </si>
  <si>
    <t>Москва</t>
  </si>
  <si>
    <t>n</t>
  </si>
  <si>
    <t>Санкт-Петербург</t>
  </si>
  <si>
    <t>neutral</t>
  </si>
  <si>
    <t>Саратов</t>
  </si>
  <si>
    <t>Тольятти</t>
  </si>
  <si>
    <t>Мурманск</t>
  </si>
  <si>
    <t>Красноярск</t>
  </si>
  <si>
    <t>Казань</t>
  </si>
  <si>
    <t>Сочи</t>
  </si>
  <si>
    <t>Дмитров</t>
  </si>
  <si>
    <t>Тюмень</t>
  </si>
  <si>
    <t>Сахалинск</t>
  </si>
  <si>
    <t>positive</t>
  </si>
  <si>
    <t>Владимир</t>
  </si>
  <si>
    <t>Самара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</si>
</sst>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2" xfId="0" applyFont="1" applyFill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1829-A213-4212-B3BB-2989DC6AD4C0}">
  <dimension ref="A1:B8"/>
  <sheetViews>
    <sheetView workbookViewId="0">
      <selection activeCell="E6" sqref="E6"/>
    </sheetView>
  </sheetViews>
  <sheetFormatPr defaultRowHeight="14.45"/>
  <cols>
    <col min="1" max="1" width="22.42578125" bestFit="1" customWidth="1"/>
    <col min="2" max="2" width="11.28515625" bestFit="1" customWidth="1"/>
  </cols>
  <sheetData>
    <row r="1" spans="1:2">
      <c r="A1" s="2" t="s">
        <v>0</v>
      </c>
      <c r="B1" s="6"/>
    </row>
    <row r="2" spans="1:2">
      <c r="A2" t="s">
        <v>1</v>
      </c>
      <c r="B2" s="6">
        <v>1000</v>
      </c>
    </row>
    <row r="3" spans="1:2">
      <c r="A3" t="s">
        <v>2</v>
      </c>
      <c r="B3" s="6">
        <v>1000</v>
      </c>
    </row>
    <row r="4" spans="1:2">
      <c r="A4" s="3" t="s">
        <v>3</v>
      </c>
      <c r="B4" s="6"/>
    </row>
    <row r="5" spans="1:2">
      <c r="A5" t="s">
        <v>4</v>
      </c>
      <c r="B5" s="7">
        <f>SUM(positive!P2:P18)</f>
        <v>264018.2</v>
      </c>
    </row>
    <row r="6" spans="1:2">
      <c r="A6" t="s">
        <v>5</v>
      </c>
      <c r="B6" s="7">
        <f>SUM(negative!P2:P4)</f>
        <v>-25217.040000000001</v>
      </c>
    </row>
    <row r="7" spans="1:2">
      <c r="A7" t="s">
        <v>6</v>
      </c>
      <c r="B7" s="7">
        <f>B5+B6</f>
        <v>238801.16</v>
      </c>
    </row>
    <row r="8" spans="1:2">
      <c r="A8" t="s">
        <v>7</v>
      </c>
      <c r="B8" s="8">
        <f>SUM(neutral!P2:P32)</f>
        <v>3800.4981088064001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workbookViewId="0">
      <selection activeCell="P3" sqref="P2:P4"/>
    </sheetView>
  </sheetViews>
  <sheetFormatPr defaultRowHeight="14.45"/>
  <sheetData>
    <row r="1" spans="1:16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4" t="s">
        <v>22</v>
      </c>
    </row>
    <row r="2" spans="1:16">
      <c r="A2" s="1">
        <v>15</v>
      </c>
      <c r="B2" t="s">
        <v>23</v>
      </c>
      <c r="C2">
        <v>66</v>
      </c>
      <c r="D2">
        <v>657</v>
      </c>
      <c r="E2">
        <v>703</v>
      </c>
      <c r="F2">
        <v>1360</v>
      </c>
      <c r="G2">
        <v>3</v>
      </c>
      <c r="H2">
        <v>2288.87</v>
      </c>
      <c r="I2">
        <v>2601.7600000000002</v>
      </c>
      <c r="J2">
        <v>-312.89</v>
      </c>
      <c r="K2">
        <v>2682.57</v>
      </c>
      <c r="L2">
        <v>2830.19</v>
      </c>
      <c r="M2">
        <v>-2.09</v>
      </c>
      <c r="N2">
        <v>3.6999999999999998E-2</v>
      </c>
      <c r="O2" t="s">
        <v>24</v>
      </c>
      <c r="P2">
        <f>J2*Итог!$B$2*negative!G2%</f>
        <v>-9386.6999999999989</v>
      </c>
    </row>
    <row r="3" spans="1:16">
      <c r="A3" s="1">
        <v>24</v>
      </c>
      <c r="B3" t="s">
        <v>25</v>
      </c>
      <c r="C3">
        <v>1101</v>
      </c>
      <c r="D3">
        <v>785</v>
      </c>
      <c r="E3">
        <v>869</v>
      </c>
      <c r="F3">
        <v>1654</v>
      </c>
      <c r="G3">
        <v>3.6</v>
      </c>
      <c r="H3">
        <v>2176</v>
      </c>
      <c r="I3">
        <v>2523.58</v>
      </c>
      <c r="J3">
        <v>-347.58</v>
      </c>
      <c r="K3">
        <v>2722.62</v>
      </c>
      <c r="L3">
        <v>2960.35</v>
      </c>
      <c r="M3">
        <v>-2.48</v>
      </c>
      <c r="N3">
        <v>1.2999999999999999E-2</v>
      </c>
      <c r="O3" t="s">
        <v>24</v>
      </c>
      <c r="P3">
        <f>J3*Итог!$B$2*negative!G3%</f>
        <v>-12512.880000000001</v>
      </c>
    </row>
    <row r="4" spans="1:16">
      <c r="A4" s="1">
        <v>46</v>
      </c>
      <c r="B4" t="s">
        <v>26</v>
      </c>
      <c r="C4">
        <v>9931</v>
      </c>
      <c r="D4">
        <v>153</v>
      </c>
      <c r="E4">
        <v>137</v>
      </c>
      <c r="F4">
        <v>290</v>
      </c>
      <c r="G4">
        <v>0.6</v>
      </c>
      <c r="H4">
        <v>1415.78</v>
      </c>
      <c r="I4">
        <v>1968.69</v>
      </c>
      <c r="J4">
        <v>-552.91</v>
      </c>
      <c r="K4">
        <v>2038.16</v>
      </c>
      <c r="L4">
        <v>2403.4</v>
      </c>
      <c r="M4">
        <v>-2.12</v>
      </c>
      <c r="N4">
        <v>3.5000000000000003E-2</v>
      </c>
      <c r="O4" t="s">
        <v>24</v>
      </c>
      <c r="P4">
        <f>J4*Итог!$B$2*negative!G4%</f>
        <v>-3317.46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2"/>
  <sheetViews>
    <sheetView workbookViewId="0">
      <selection activeCell="P2" sqref="P2"/>
    </sheetView>
  </sheetViews>
  <sheetFormatPr defaultRowHeight="14.45"/>
  <cols>
    <col min="16" max="16" width="10.140625" bestFit="1" customWidth="1"/>
  </cols>
  <sheetData>
    <row r="1" spans="1:16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4" t="s">
        <v>27</v>
      </c>
    </row>
    <row r="2" spans="1:16">
      <c r="A2" s="1">
        <v>2</v>
      </c>
      <c r="B2" t="s">
        <v>28</v>
      </c>
      <c r="C2">
        <v>112</v>
      </c>
      <c r="D2">
        <v>652</v>
      </c>
      <c r="E2">
        <v>683</v>
      </c>
      <c r="F2">
        <v>1335</v>
      </c>
      <c r="G2">
        <v>2.9</v>
      </c>
      <c r="H2">
        <v>2488.12</v>
      </c>
      <c r="I2">
        <v>2218.64</v>
      </c>
      <c r="J2">
        <v>269.48</v>
      </c>
      <c r="K2">
        <v>2778.18</v>
      </c>
      <c r="L2">
        <v>2780.79</v>
      </c>
      <c r="M2">
        <v>1.77</v>
      </c>
      <c r="N2">
        <v>7.6999999999999999E-2</v>
      </c>
      <c r="O2" t="s">
        <v>29</v>
      </c>
      <c r="P2" s="5">
        <f>(4*(MIN(K2:L2))/(Итог!$B$3))^2</f>
        <v>123.49254579839999</v>
      </c>
    </row>
    <row r="3" spans="1:16">
      <c r="A3" s="1">
        <v>3</v>
      </c>
      <c r="B3" t="s">
        <v>26</v>
      </c>
      <c r="C3">
        <v>3786</v>
      </c>
      <c r="D3">
        <v>237</v>
      </c>
      <c r="E3">
        <v>278</v>
      </c>
      <c r="F3">
        <v>515</v>
      </c>
      <c r="G3">
        <v>1.1000000000000001</v>
      </c>
      <c r="H3">
        <v>2613.6799999999998</v>
      </c>
      <c r="I3">
        <v>2688.23</v>
      </c>
      <c r="J3">
        <v>-74.55</v>
      </c>
      <c r="K3">
        <v>2712.24</v>
      </c>
      <c r="L3">
        <v>3292.94</v>
      </c>
      <c r="M3">
        <v>-0.28000000000000003</v>
      </c>
      <c r="N3">
        <v>0.78200000000000003</v>
      </c>
      <c r="O3" t="s">
        <v>29</v>
      </c>
      <c r="P3" s="5">
        <f>(4*(MIN(K3:L3))/(Итог!$B$3))^2</f>
        <v>117.69993308159999</v>
      </c>
    </row>
    <row r="4" spans="1:16">
      <c r="A4" s="1">
        <v>5</v>
      </c>
      <c r="B4" t="s">
        <v>30</v>
      </c>
      <c r="C4">
        <v>80</v>
      </c>
      <c r="D4">
        <v>844</v>
      </c>
      <c r="E4">
        <v>880</v>
      </c>
      <c r="F4">
        <v>1724</v>
      </c>
      <c r="G4">
        <v>3.8</v>
      </c>
      <c r="H4">
        <v>2517.33</v>
      </c>
      <c r="I4">
        <v>2511.9699999999998</v>
      </c>
      <c r="J4">
        <v>5.36</v>
      </c>
      <c r="K4">
        <v>2797.12</v>
      </c>
      <c r="L4">
        <v>2824.72</v>
      </c>
      <c r="M4">
        <v>0.04</v>
      </c>
      <c r="N4">
        <v>0.96799999999999997</v>
      </c>
      <c r="O4" t="s">
        <v>29</v>
      </c>
      <c r="P4" s="5">
        <f>(4*(MIN(K4:L4))/(Итог!$B$3))^2</f>
        <v>125.18208471040001</v>
      </c>
    </row>
    <row r="5" spans="1:16">
      <c r="A5" s="1">
        <v>6</v>
      </c>
      <c r="B5" t="s">
        <v>31</v>
      </c>
      <c r="C5">
        <v>88</v>
      </c>
      <c r="D5">
        <v>190</v>
      </c>
      <c r="E5">
        <v>167</v>
      </c>
      <c r="F5">
        <v>357</v>
      </c>
      <c r="G5">
        <v>0.8</v>
      </c>
      <c r="H5">
        <v>2902.41</v>
      </c>
      <c r="I5">
        <v>2439.46</v>
      </c>
      <c r="J5">
        <v>462.95</v>
      </c>
      <c r="K5">
        <v>3074.65</v>
      </c>
      <c r="L5">
        <v>2689.34</v>
      </c>
      <c r="M5">
        <v>1.5</v>
      </c>
      <c r="N5">
        <v>0.13300000000000001</v>
      </c>
      <c r="O5" t="s">
        <v>29</v>
      </c>
      <c r="P5" s="5">
        <f>(4*(MIN(K5:L5))/(Итог!$B$3))^2</f>
        <v>115.72079416960001</v>
      </c>
    </row>
    <row r="6" spans="1:16">
      <c r="A6" s="1">
        <v>8</v>
      </c>
      <c r="B6" t="s">
        <v>32</v>
      </c>
      <c r="C6">
        <v>55</v>
      </c>
      <c r="D6">
        <v>422</v>
      </c>
      <c r="E6">
        <v>425</v>
      </c>
      <c r="F6">
        <v>847</v>
      </c>
      <c r="G6">
        <v>1.9</v>
      </c>
      <c r="H6">
        <v>2109.11</v>
      </c>
      <c r="I6">
        <v>2111.27</v>
      </c>
      <c r="J6">
        <v>-2.16</v>
      </c>
      <c r="K6">
        <v>2790.99</v>
      </c>
      <c r="L6">
        <v>2804.22</v>
      </c>
      <c r="M6">
        <v>-0.01</v>
      </c>
      <c r="N6">
        <v>0.99099999999999999</v>
      </c>
      <c r="O6" t="s">
        <v>29</v>
      </c>
      <c r="P6" s="5">
        <f>(4*(MIN(K6:L6))/(Итог!$B$3))^2</f>
        <v>124.63400288159998</v>
      </c>
    </row>
    <row r="7" spans="1:16">
      <c r="A7" s="1">
        <v>9</v>
      </c>
      <c r="B7" t="s">
        <v>33</v>
      </c>
      <c r="C7">
        <v>212</v>
      </c>
      <c r="D7">
        <v>593</v>
      </c>
      <c r="E7">
        <v>575</v>
      </c>
      <c r="F7">
        <v>1168</v>
      </c>
      <c r="G7">
        <v>2.6</v>
      </c>
      <c r="H7">
        <v>2144.3200000000002</v>
      </c>
      <c r="I7">
        <v>2222.0500000000002</v>
      </c>
      <c r="J7">
        <v>-77.73</v>
      </c>
      <c r="K7">
        <v>2708.59</v>
      </c>
      <c r="L7">
        <v>2785.12</v>
      </c>
      <c r="M7">
        <v>-0.48</v>
      </c>
      <c r="N7">
        <v>0.629</v>
      </c>
      <c r="O7" t="s">
        <v>29</v>
      </c>
      <c r="P7" s="5">
        <f>(4*(MIN(K7:L7))/(Итог!$B$3))^2</f>
        <v>117.3833566096</v>
      </c>
    </row>
    <row r="8" spans="1:16">
      <c r="A8" s="1">
        <v>10</v>
      </c>
      <c r="B8" t="s">
        <v>34</v>
      </c>
      <c r="C8">
        <v>477</v>
      </c>
      <c r="D8">
        <v>382</v>
      </c>
      <c r="E8">
        <v>386</v>
      </c>
      <c r="F8">
        <v>768</v>
      </c>
      <c r="G8">
        <v>1.7</v>
      </c>
      <c r="H8">
        <v>2259.62</v>
      </c>
      <c r="I8">
        <v>2496.9899999999998</v>
      </c>
      <c r="J8">
        <v>-237.37</v>
      </c>
      <c r="K8">
        <v>3482.85</v>
      </c>
      <c r="L8">
        <v>3881.99</v>
      </c>
      <c r="M8">
        <v>-0.89</v>
      </c>
      <c r="N8">
        <v>0.373</v>
      </c>
      <c r="O8" t="s">
        <v>29</v>
      </c>
      <c r="P8" s="5">
        <f>(4*(MIN(K8:L8))/(Итог!$B$3))^2</f>
        <v>194.08390596000001</v>
      </c>
    </row>
    <row r="9" spans="1:16">
      <c r="A9" s="1">
        <v>11</v>
      </c>
      <c r="B9" t="s">
        <v>28</v>
      </c>
      <c r="C9">
        <v>309</v>
      </c>
      <c r="D9">
        <v>240</v>
      </c>
      <c r="E9">
        <v>238</v>
      </c>
      <c r="F9">
        <v>478</v>
      </c>
      <c r="G9">
        <v>1.1000000000000001</v>
      </c>
      <c r="H9">
        <v>2706.28</v>
      </c>
      <c r="I9">
        <v>2392.89</v>
      </c>
      <c r="J9">
        <v>313.39</v>
      </c>
      <c r="K9">
        <v>2814.94</v>
      </c>
      <c r="L9">
        <v>2761.94</v>
      </c>
      <c r="M9">
        <v>1.23</v>
      </c>
      <c r="N9">
        <v>0.22</v>
      </c>
      <c r="O9" t="s">
        <v>29</v>
      </c>
      <c r="P9" s="5">
        <f>(4*(MIN(K9:L9))/(Итог!$B$3))^2</f>
        <v>122.05300101760001</v>
      </c>
    </row>
    <row r="10" spans="1:16">
      <c r="A10" s="1">
        <v>12</v>
      </c>
      <c r="B10" t="s">
        <v>34</v>
      </c>
      <c r="C10">
        <v>439</v>
      </c>
      <c r="D10">
        <v>355</v>
      </c>
      <c r="E10">
        <v>351</v>
      </c>
      <c r="F10">
        <v>706</v>
      </c>
      <c r="G10">
        <v>1.6</v>
      </c>
      <c r="H10">
        <v>2481.96</v>
      </c>
      <c r="I10">
        <v>2400.64</v>
      </c>
      <c r="J10">
        <v>81.319999999999993</v>
      </c>
      <c r="K10">
        <v>4040.44</v>
      </c>
      <c r="L10">
        <v>3722.12</v>
      </c>
      <c r="M10">
        <v>0.28000000000000003</v>
      </c>
      <c r="N10">
        <v>0.78100000000000003</v>
      </c>
      <c r="O10" t="s">
        <v>29</v>
      </c>
      <c r="P10" s="5">
        <f>(4*(MIN(K10:L10))/(Итог!$B$3))^2</f>
        <v>221.66683671039999</v>
      </c>
    </row>
    <row r="11" spans="1:16">
      <c r="A11" s="1">
        <v>13</v>
      </c>
      <c r="B11" t="s">
        <v>28</v>
      </c>
      <c r="C11">
        <v>576</v>
      </c>
      <c r="D11">
        <v>630</v>
      </c>
      <c r="E11">
        <v>657</v>
      </c>
      <c r="F11">
        <v>1287</v>
      </c>
      <c r="G11">
        <v>2.8</v>
      </c>
      <c r="H11">
        <v>1594.44</v>
      </c>
      <c r="I11">
        <v>1342.13</v>
      </c>
      <c r="J11">
        <v>252.31</v>
      </c>
      <c r="K11">
        <v>2683.73</v>
      </c>
      <c r="L11">
        <v>2415.8200000000002</v>
      </c>
      <c r="M11">
        <v>1.77</v>
      </c>
      <c r="N11">
        <v>7.5999999999999998E-2</v>
      </c>
      <c r="O11" t="s">
        <v>29</v>
      </c>
      <c r="P11" s="5">
        <f>(4*(MIN(K11:L11))/(Итог!$B$3))^2</f>
        <v>93.3789803584</v>
      </c>
    </row>
    <row r="12" spans="1:16">
      <c r="A12" s="1">
        <v>17</v>
      </c>
      <c r="B12" t="s">
        <v>33</v>
      </c>
      <c r="C12">
        <v>277</v>
      </c>
      <c r="D12">
        <v>708</v>
      </c>
      <c r="E12">
        <v>709</v>
      </c>
      <c r="F12">
        <v>1417</v>
      </c>
      <c r="G12">
        <v>3.1</v>
      </c>
      <c r="H12">
        <v>2285.75</v>
      </c>
      <c r="I12">
        <v>2431.37</v>
      </c>
      <c r="J12">
        <v>-145.62</v>
      </c>
      <c r="K12">
        <v>2712.68</v>
      </c>
      <c r="L12">
        <v>2868.59</v>
      </c>
      <c r="M12">
        <v>-0.98</v>
      </c>
      <c r="N12">
        <v>0.32600000000000001</v>
      </c>
      <c r="O12" t="s">
        <v>29</v>
      </c>
      <c r="P12" s="5">
        <f>(4*(MIN(K12:L12))/(Итог!$B$3))^2</f>
        <v>117.73812451839999</v>
      </c>
    </row>
    <row r="13" spans="1:16">
      <c r="A13" s="1">
        <v>19</v>
      </c>
      <c r="B13" t="s">
        <v>26</v>
      </c>
      <c r="C13">
        <v>3987</v>
      </c>
      <c r="D13">
        <v>801</v>
      </c>
      <c r="E13">
        <v>785</v>
      </c>
      <c r="F13">
        <v>1586</v>
      </c>
      <c r="G13">
        <v>3.5</v>
      </c>
      <c r="H13">
        <v>1603</v>
      </c>
      <c r="I13">
        <v>1639.86</v>
      </c>
      <c r="J13">
        <v>-36.86</v>
      </c>
      <c r="K13">
        <v>2518.83</v>
      </c>
      <c r="L13">
        <v>2686.32</v>
      </c>
      <c r="M13">
        <v>-0.28000000000000003</v>
      </c>
      <c r="N13">
        <v>0.77800000000000002</v>
      </c>
      <c r="O13" t="s">
        <v>29</v>
      </c>
      <c r="P13" s="5">
        <f>(4*(MIN(K13:L13))/(Итог!$B$3))^2</f>
        <v>101.5120731024</v>
      </c>
    </row>
    <row r="14" spans="1:16">
      <c r="A14" s="1">
        <v>20</v>
      </c>
      <c r="B14" t="s">
        <v>33</v>
      </c>
      <c r="C14">
        <v>202</v>
      </c>
      <c r="D14">
        <v>551</v>
      </c>
      <c r="E14">
        <v>565</v>
      </c>
      <c r="F14">
        <v>1116</v>
      </c>
      <c r="G14">
        <v>2.5</v>
      </c>
      <c r="H14">
        <v>2927.34</v>
      </c>
      <c r="I14">
        <v>2730.38</v>
      </c>
      <c r="J14">
        <v>196.96</v>
      </c>
      <c r="K14">
        <v>2956.69</v>
      </c>
      <c r="L14">
        <v>2737.89</v>
      </c>
      <c r="M14">
        <v>1.1599999999999999</v>
      </c>
      <c r="N14">
        <v>0.248</v>
      </c>
      <c r="O14" t="s">
        <v>29</v>
      </c>
      <c r="P14" s="5">
        <f>(4*(MIN(K14:L14))/(Итог!$B$3))^2</f>
        <v>119.93666643359998</v>
      </c>
    </row>
    <row r="15" spans="1:16">
      <c r="A15" s="1">
        <v>21</v>
      </c>
      <c r="B15" t="s">
        <v>32</v>
      </c>
      <c r="C15">
        <v>54</v>
      </c>
      <c r="D15">
        <v>633</v>
      </c>
      <c r="E15">
        <v>640</v>
      </c>
      <c r="F15">
        <v>1273</v>
      </c>
      <c r="G15">
        <v>2.8</v>
      </c>
      <c r="H15">
        <v>1702.71</v>
      </c>
      <c r="I15">
        <v>1688.51</v>
      </c>
      <c r="J15">
        <v>14.2</v>
      </c>
      <c r="K15">
        <v>2565.13</v>
      </c>
      <c r="L15">
        <v>2628.01</v>
      </c>
      <c r="M15">
        <v>0.1</v>
      </c>
      <c r="N15">
        <v>0.92200000000000004</v>
      </c>
      <c r="O15" t="s">
        <v>29</v>
      </c>
      <c r="P15" s="5">
        <f>(4*(MIN(K15:L15))/(Итог!$B$3))^2</f>
        <v>105.27827067039999</v>
      </c>
    </row>
    <row r="16" spans="1:16">
      <c r="A16" s="1">
        <v>22</v>
      </c>
      <c r="B16" t="s">
        <v>35</v>
      </c>
      <c r="C16">
        <v>72</v>
      </c>
      <c r="D16">
        <v>609</v>
      </c>
      <c r="E16">
        <v>639</v>
      </c>
      <c r="F16">
        <v>1248</v>
      </c>
      <c r="G16">
        <v>2.8</v>
      </c>
      <c r="H16">
        <v>2371.4299999999998</v>
      </c>
      <c r="I16">
        <v>2523.38</v>
      </c>
      <c r="J16">
        <v>-151.94999999999999</v>
      </c>
      <c r="K16">
        <v>2906.82</v>
      </c>
      <c r="L16">
        <v>2795.92</v>
      </c>
      <c r="M16">
        <v>-0.94</v>
      </c>
      <c r="N16">
        <v>0.34699999999999998</v>
      </c>
      <c r="O16" t="s">
        <v>29</v>
      </c>
      <c r="P16" s="5">
        <f>(4*(MIN(K16:L16))/(Итог!$B$3))^2</f>
        <v>125.07469834240001</v>
      </c>
    </row>
    <row r="17" spans="1:16">
      <c r="A17" s="1">
        <v>23</v>
      </c>
      <c r="B17" t="s">
        <v>33</v>
      </c>
      <c r="C17">
        <v>444</v>
      </c>
      <c r="D17">
        <v>650</v>
      </c>
      <c r="E17">
        <v>562</v>
      </c>
      <c r="F17">
        <v>1212</v>
      </c>
      <c r="G17">
        <v>2.7</v>
      </c>
      <c r="H17">
        <v>2404.11</v>
      </c>
      <c r="I17">
        <v>2545.73</v>
      </c>
      <c r="J17">
        <v>-141.62</v>
      </c>
      <c r="K17">
        <v>2810.83</v>
      </c>
      <c r="L17">
        <v>2797.14</v>
      </c>
      <c r="M17">
        <v>-0.88</v>
      </c>
      <c r="N17">
        <v>0.38100000000000001</v>
      </c>
      <c r="O17" t="s">
        <v>29</v>
      </c>
      <c r="P17" s="5">
        <f>(4*(MIN(K17:L17))/(Итог!$B$3))^2</f>
        <v>125.18387487359998</v>
      </c>
    </row>
    <row r="18" spans="1:16">
      <c r="A18" s="1">
        <v>25</v>
      </c>
      <c r="B18" t="s">
        <v>34</v>
      </c>
      <c r="C18">
        <v>544</v>
      </c>
      <c r="D18">
        <v>377</v>
      </c>
      <c r="E18">
        <v>416</v>
      </c>
      <c r="F18">
        <v>793</v>
      </c>
      <c r="G18">
        <v>1.7</v>
      </c>
      <c r="H18">
        <v>2621.4299999999998</v>
      </c>
      <c r="I18">
        <v>2635.55</v>
      </c>
      <c r="J18">
        <v>-14.12</v>
      </c>
      <c r="K18">
        <v>3714.89</v>
      </c>
      <c r="L18">
        <v>4639.82</v>
      </c>
      <c r="M18">
        <v>-0.05</v>
      </c>
      <c r="N18">
        <v>0.96299999999999997</v>
      </c>
      <c r="O18" t="s">
        <v>29</v>
      </c>
      <c r="P18" s="5">
        <f>(4*(MIN(K18:L18))/(Итог!$B$3))^2</f>
        <v>220.8065233936</v>
      </c>
    </row>
    <row r="19" spans="1:16">
      <c r="A19" s="1">
        <v>26</v>
      </c>
      <c r="B19" t="s">
        <v>34</v>
      </c>
      <c r="C19">
        <v>699</v>
      </c>
      <c r="D19">
        <v>482</v>
      </c>
      <c r="E19">
        <v>494</v>
      </c>
      <c r="F19">
        <v>976</v>
      </c>
      <c r="G19">
        <v>2.2000000000000002</v>
      </c>
      <c r="H19">
        <v>2422.29</v>
      </c>
      <c r="I19">
        <v>2574.35</v>
      </c>
      <c r="J19">
        <v>-152.06</v>
      </c>
      <c r="K19">
        <v>3906.82</v>
      </c>
      <c r="L19">
        <v>4082.85</v>
      </c>
      <c r="M19">
        <v>-0.59</v>
      </c>
      <c r="N19">
        <v>0.55200000000000005</v>
      </c>
      <c r="O19" t="s">
        <v>29</v>
      </c>
      <c r="P19" s="5">
        <f>(4*(MIN(K19:L19))/(Итог!$B$3))^2</f>
        <v>244.21188019840002</v>
      </c>
    </row>
    <row r="20" spans="1:16">
      <c r="A20" s="1">
        <v>28</v>
      </c>
      <c r="B20" t="s">
        <v>25</v>
      </c>
      <c r="C20">
        <v>1989</v>
      </c>
      <c r="D20">
        <v>239</v>
      </c>
      <c r="E20">
        <v>270</v>
      </c>
      <c r="F20">
        <v>509</v>
      </c>
      <c r="G20">
        <v>1.1000000000000001</v>
      </c>
      <c r="H20">
        <v>4407.38</v>
      </c>
      <c r="I20">
        <v>4163.96</v>
      </c>
      <c r="J20">
        <v>243.42</v>
      </c>
      <c r="K20">
        <v>2737.9</v>
      </c>
      <c r="L20">
        <v>2492.1</v>
      </c>
      <c r="M20">
        <v>1.05</v>
      </c>
      <c r="N20">
        <v>0.29399999999999998</v>
      </c>
      <c r="O20" t="s">
        <v>29</v>
      </c>
      <c r="P20" s="5">
        <f>(4*(MIN(K20:L20))/(Итог!$B$3))^2</f>
        <v>99.36899855999998</v>
      </c>
    </row>
    <row r="21" spans="1:16">
      <c r="A21" s="1">
        <v>31</v>
      </c>
      <c r="B21" t="s">
        <v>36</v>
      </c>
      <c r="C21">
        <v>2</v>
      </c>
      <c r="D21">
        <v>78</v>
      </c>
      <c r="E21">
        <v>71</v>
      </c>
      <c r="F21">
        <v>149</v>
      </c>
      <c r="G21">
        <v>0.3</v>
      </c>
      <c r="H21">
        <v>579.33000000000004</v>
      </c>
      <c r="I21">
        <v>483.45</v>
      </c>
      <c r="J21">
        <v>95.88</v>
      </c>
      <c r="K21">
        <v>1860.76</v>
      </c>
      <c r="L21">
        <v>1654.92</v>
      </c>
      <c r="M21">
        <v>0.33</v>
      </c>
      <c r="N21">
        <v>0.74099999999999999</v>
      </c>
      <c r="O21" t="s">
        <v>29</v>
      </c>
      <c r="P21" s="5">
        <f>(4*(MIN(K21:L21))/(Итог!$B$3))^2</f>
        <v>43.820163302400012</v>
      </c>
    </row>
    <row r="22" spans="1:16">
      <c r="A22" s="1">
        <v>34</v>
      </c>
      <c r="B22" t="s">
        <v>26</v>
      </c>
      <c r="C22">
        <v>2212</v>
      </c>
      <c r="D22">
        <v>422</v>
      </c>
      <c r="E22">
        <v>397</v>
      </c>
      <c r="F22">
        <v>819</v>
      </c>
      <c r="G22">
        <v>1.8</v>
      </c>
      <c r="H22">
        <v>2813.17</v>
      </c>
      <c r="I22">
        <v>2739.36</v>
      </c>
      <c r="J22">
        <v>73.81</v>
      </c>
      <c r="K22">
        <v>3196.89</v>
      </c>
      <c r="L22">
        <v>2446.98</v>
      </c>
      <c r="M22">
        <v>0.37</v>
      </c>
      <c r="N22">
        <v>0.71199999999999997</v>
      </c>
      <c r="O22" t="s">
        <v>29</v>
      </c>
      <c r="P22" s="5">
        <f>(4*(MIN(K22:L22))/(Итог!$B$3))^2</f>
        <v>95.803377926399989</v>
      </c>
    </row>
    <row r="23" spans="1:16">
      <c r="A23" s="1">
        <v>35</v>
      </c>
      <c r="B23" t="s">
        <v>37</v>
      </c>
      <c r="C23">
        <v>19</v>
      </c>
      <c r="D23">
        <v>130</v>
      </c>
      <c r="E23">
        <v>146</v>
      </c>
      <c r="F23">
        <v>276</v>
      </c>
      <c r="G23">
        <v>0.6</v>
      </c>
      <c r="H23">
        <v>2043.82</v>
      </c>
      <c r="I23">
        <v>1743.38</v>
      </c>
      <c r="J23">
        <v>300.44</v>
      </c>
      <c r="K23">
        <v>2442.27</v>
      </c>
      <c r="L23">
        <v>2891.33</v>
      </c>
      <c r="M23">
        <v>0.93</v>
      </c>
      <c r="N23">
        <v>0.35499999999999998</v>
      </c>
      <c r="O23" t="s">
        <v>29</v>
      </c>
      <c r="P23" s="5">
        <f>(4*(MIN(K23:L23))/(Итог!$B$3))^2</f>
        <v>95.434924046400013</v>
      </c>
    </row>
    <row r="24" spans="1:16">
      <c r="A24" s="1">
        <v>36</v>
      </c>
      <c r="B24" t="s">
        <v>34</v>
      </c>
      <c r="C24">
        <v>516</v>
      </c>
      <c r="D24">
        <v>634</v>
      </c>
      <c r="E24">
        <v>636</v>
      </c>
      <c r="F24">
        <v>1270</v>
      </c>
      <c r="G24">
        <v>2.8</v>
      </c>
      <c r="H24">
        <v>3237.2</v>
      </c>
      <c r="I24">
        <v>2880.48</v>
      </c>
      <c r="J24">
        <v>356.72</v>
      </c>
      <c r="K24">
        <v>4537.1000000000004</v>
      </c>
      <c r="L24">
        <v>3819.29</v>
      </c>
      <c r="M24">
        <v>1.52</v>
      </c>
      <c r="N24">
        <v>0.13</v>
      </c>
      <c r="O24" t="s">
        <v>29</v>
      </c>
      <c r="P24" s="5">
        <f>(4*(MIN(K24:L24))/(Итог!$B$3))^2</f>
        <v>233.39161766560002</v>
      </c>
    </row>
    <row r="25" spans="1:16">
      <c r="A25" s="1">
        <v>37</v>
      </c>
      <c r="B25" t="s">
        <v>26</v>
      </c>
      <c r="C25">
        <v>8543</v>
      </c>
      <c r="D25">
        <v>148</v>
      </c>
      <c r="E25">
        <v>140</v>
      </c>
      <c r="F25">
        <v>288</v>
      </c>
      <c r="G25">
        <v>0.6</v>
      </c>
      <c r="H25">
        <v>1859.78</v>
      </c>
      <c r="I25">
        <v>1804.25</v>
      </c>
      <c r="J25">
        <v>55.53</v>
      </c>
      <c r="K25">
        <v>2568.98</v>
      </c>
      <c r="L25">
        <v>3015.73</v>
      </c>
      <c r="M25">
        <v>0.17</v>
      </c>
      <c r="N25">
        <v>0.86599999999999999</v>
      </c>
      <c r="O25" t="s">
        <v>29</v>
      </c>
      <c r="P25" s="5">
        <f>(4*(MIN(K25:L25))/(Итог!$B$3))^2</f>
        <v>105.59453184639999</v>
      </c>
    </row>
    <row r="26" spans="1:16">
      <c r="A26" s="1">
        <v>38</v>
      </c>
      <c r="B26" t="s">
        <v>33</v>
      </c>
      <c r="C26">
        <v>278</v>
      </c>
      <c r="D26">
        <v>535</v>
      </c>
      <c r="E26">
        <v>489</v>
      </c>
      <c r="F26">
        <v>1024</v>
      </c>
      <c r="G26">
        <v>2.2999999999999998</v>
      </c>
      <c r="H26">
        <v>2499.35</v>
      </c>
      <c r="I26">
        <v>2185.21</v>
      </c>
      <c r="J26">
        <v>314.14</v>
      </c>
      <c r="K26">
        <v>2916</v>
      </c>
      <c r="L26">
        <v>2574.92</v>
      </c>
      <c r="M26">
        <v>1.82</v>
      </c>
      <c r="N26">
        <v>6.9000000000000006E-2</v>
      </c>
      <c r="O26" t="s">
        <v>29</v>
      </c>
      <c r="P26" s="5">
        <f>(4*(MIN(K26:L26))/(Итог!$B$3))^2</f>
        <v>106.08340810240001</v>
      </c>
    </row>
    <row r="27" spans="1:16">
      <c r="A27" s="1">
        <v>40</v>
      </c>
      <c r="B27" t="s">
        <v>26</v>
      </c>
      <c r="C27">
        <v>6543</v>
      </c>
      <c r="D27">
        <v>662</v>
      </c>
      <c r="E27">
        <v>689</v>
      </c>
      <c r="F27">
        <v>1351</v>
      </c>
      <c r="G27">
        <v>3</v>
      </c>
      <c r="H27">
        <v>1702.44</v>
      </c>
      <c r="I27">
        <v>1528.33</v>
      </c>
      <c r="J27">
        <v>174.11</v>
      </c>
      <c r="K27">
        <v>2453.9</v>
      </c>
      <c r="L27">
        <v>2338.52</v>
      </c>
      <c r="M27">
        <v>1.34</v>
      </c>
      <c r="N27">
        <v>0.182</v>
      </c>
      <c r="O27" t="s">
        <v>29</v>
      </c>
      <c r="P27" s="5">
        <f>(4*(MIN(K27:L27))/(Итог!$B$3))^2</f>
        <v>87.498812646399998</v>
      </c>
    </row>
    <row r="28" spans="1:16">
      <c r="A28" s="1">
        <v>41</v>
      </c>
      <c r="B28" t="s">
        <v>30</v>
      </c>
      <c r="C28">
        <v>82</v>
      </c>
      <c r="D28">
        <v>169</v>
      </c>
      <c r="E28">
        <v>229</v>
      </c>
      <c r="F28">
        <v>398</v>
      </c>
      <c r="G28">
        <v>0.9</v>
      </c>
      <c r="H28">
        <v>2586.0100000000002</v>
      </c>
      <c r="I28">
        <v>2655.67</v>
      </c>
      <c r="J28">
        <v>-69.66</v>
      </c>
      <c r="K28">
        <v>2676.44</v>
      </c>
      <c r="L28">
        <v>2929.36</v>
      </c>
      <c r="M28">
        <v>-0.24</v>
      </c>
      <c r="N28">
        <v>0.80800000000000005</v>
      </c>
      <c r="O28" t="s">
        <v>29</v>
      </c>
      <c r="P28" s="5">
        <f>(4*(MIN(K28:L28))/(Итог!$B$3))^2</f>
        <v>114.61329717759999</v>
      </c>
    </row>
    <row r="29" spans="1:16">
      <c r="A29" s="1">
        <v>44</v>
      </c>
      <c r="B29" t="s">
        <v>26</v>
      </c>
      <c r="C29">
        <v>9121</v>
      </c>
      <c r="D29">
        <v>131</v>
      </c>
      <c r="E29">
        <v>108</v>
      </c>
      <c r="F29">
        <v>239</v>
      </c>
      <c r="G29">
        <v>0.5</v>
      </c>
      <c r="H29">
        <v>1976.85</v>
      </c>
      <c r="I29">
        <v>1856.94</v>
      </c>
      <c r="J29">
        <v>119.91</v>
      </c>
      <c r="K29">
        <v>2605.8000000000002</v>
      </c>
      <c r="L29">
        <v>2442.33</v>
      </c>
      <c r="M29">
        <v>0.36</v>
      </c>
      <c r="N29">
        <v>0.71599999999999997</v>
      </c>
      <c r="O29" t="s">
        <v>29</v>
      </c>
      <c r="P29" s="5">
        <f>(4*(MIN(K29:L29))/(Итог!$B$3))^2</f>
        <v>95.439613262400002</v>
      </c>
    </row>
    <row r="30" spans="1:16">
      <c r="A30" s="1">
        <v>48</v>
      </c>
      <c r="B30" t="s">
        <v>28</v>
      </c>
      <c r="C30">
        <v>394</v>
      </c>
      <c r="D30">
        <v>104</v>
      </c>
      <c r="E30">
        <v>85</v>
      </c>
      <c r="F30">
        <v>189</v>
      </c>
      <c r="G30">
        <v>0.4</v>
      </c>
      <c r="H30">
        <v>1229.6400000000001</v>
      </c>
      <c r="I30">
        <v>973.62</v>
      </c>
      <c r="J30">
        <v>256.02</v>
      </c>
      <c r="K30">
        <v>2208.23</v>
      </c>
      <c r="L30">
        <v>1940.85</v>
      </c>
      <c r="M30">
        <v>0.84</v>
      </c>
      <c r="N30">
        <v>0.40400000000000003</v>
      </c>
      <c r="O30" t="s">
        <v>29</v>
      </c>
      <c r="P30" s="5">
        <f>(4*(MIN(K30:L30))/(Итог!$B$3))^2</f>
        <v>60.270379559999995</v>
      </c>
    </row>
    <row r="31" spans="1:16">
      <c r="A31" s="1">
        <v>49</v>
      </c>
      <c r="B31" t="s">
        <v>38</v>
      </c>
      <c r="C31">
        <v>69</v>
      </c>
      <c r="D31">
        <v>75</v>
      </c>
      <c r="E31">
        <v>78</v>
      </c>
      <c r="F31">
        <v>153</v>
      </c>
      <c r="G31">
        <v>0.3</v>
      </c>
      <c r="H31">
        <v>1171.45</v>
      </c>
      <c r="I31">
        <v>600.15</v>
      </c>
      <c r="J31">
        <v>571.29999999999995</v>
      </c>
      <c r="K31">
        <v>2578.1</v>
      </c>
      <c r="L31">
        <v>1690.14</v>
      </c>
      <c r="M31">
        <v>1.63</v>
      </c>
      <c r="N31">
        <v>0.106</v>
      </c>
      <c r="O31" t="s">
        <v>29</v>
      </c>
      <c r="P31" s="5">
        <f>(4*(MIN(K31:L31))/(Итог!$B$3))^2</f>
        <v>45.705171513600014</v>
      </c>
    </row>
    <row r="32" spans="1:16">
      <c r="A32" s="1">
        <v>50</v>
      </c>
      <c r="B32" t="s">
        <v>35</v>
      </c>
      <c r="C32">
        <v>73</v>
      </c>
      <c r="D32">
        <v>187</v>
      </c>
      <c r="E32">
        <v>167</v>
      </c>
      <c r="F32">
        <v>354</v>
      </c>
      <c r="G32">
        <v>0.8</v>
      </c>
      <c r="H32">
        <v>2092.1799999999998</v>
      </c>
      <c r="I32">
        <v>2521.96</v>
      </c>
      <c r="J32">
        <v>-429.78</v>
      </c>
      <c r="K32">
        <v>2530.27</v>
      </c>
      <c r="L32">
        <v>2875.46</v>
      </c>
      <c r="M32">
        <v>-1.5</v>
      </c>
      <c r="N32">
        <v>0.13600000000000001</v>
      </c>
      <c r="O32" t="s">
        <v>29</v>
      </c>
      <c r="P32" s="5">
        <f>(4*(MIN(K32:L32))/(Итог!$B$3))^2</f>
        <v>102.43626036639998</v>
      </c>
    </row>
  </sheetData>
  <pageMargins left="0.7" right="0.7" top="0.75" bottom="0.75" header="0.3" footer="0.3"/>
  <ignoredErrors>
    <ignoredError sqref="P2:P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tabSelected="1" workbookViewId="0">
      <selection activeCell="P2" sqref="P2"/>
    </sheetView>
  </sheetViews>
  <sheetFormatPr defaultRowHeight="14.45"/>
  <sheetData>
    <row r="1" spans="1:16"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4" t="s">
        <v>22</v>
      </c>
    </row>
    <row r="2" spans="1:16">
      <c r="A2" s="1">
        <v>0</v>
      </c>
      <c r="B2" t="s">
        <v>28</v>
      </c>
      <c r="C2">
        <v>453</v>
      </c>
      <c r="D2">
        <v>1066</v>
      </c>
      <c r="E2">
        <v>1049</v>
      </c>
      <c r="F2">
        <v>2115</v>
      </c>
      <c r="G2">
        <v>4.7</v>
      </c>
      <c r="H2">
        <v>2501.9699999999998</v>
      </c>
      <c r="I2">
        <v>1889.92</v>
      </c>
      <c r="J2">
        <v>612.04999999999995</v>
      </c>
      <c r="K2">
        <v>2993.44</v>
      </c>
      <c r="L2">
        <v>2648.66</v>
      </c>
      <c r="M2">
        <v>4.9800000000000004</v>
      </c>
      <c r="N2">
        <v>0</v>
      </c>
      <c r="O2" t="s">
        <v>39</v>
      </c>
      <c r="P2">
        <f>J2*Итог!$B$2*G2%</f>
        <v>28766.35</v>
      </c>
    </row>
    <row r="3" spans="1:16">
      <c r="A3" s="1">
        <v>1</v>
      </c>
      <c r="B3" t="s">
        <v>26</v>
      </c>
      <c r="C3">
        <v>2652</v>
      </c>
      <c r="D3">
        <v>2273</v>
      </c>
      <c r="E3">
        <v>2370</v>
      </c>
      <c r="F3">
        <v>4643</v>
      </c>
      <c r="G3">
        <v>10.199999999999999</v>
      </c>
      <c r="H3">
        <v>2506.62</v>
      </c>
      <c r="I3">
        <v>1972.85</v>
      </c>
      <c r="J3">
        <v>533.77</v>
      </c>
      <c r="K3">
        <v>2842.18</v>
      </c>
      <c r="L3">
        <v>2565.88</v>
      </c>
      <c r="M3">
        <v>6.72</v>
      </c>
      <c r="N3">
        <v>0</v>
      </c>
      <c r="O3" t="s">
        <v>39</v>
      </c>
      <c r="P3">
        <f>J3*Итог!$B$2*G3%</f>
        <v>54444.539999999994</v>
      </c>
    </row>
    <row r="4" spans="1:16">
      <c r="A4" s="1">
        <v>4</v>
      </c>
      <c r="B4" t="s">
        <v>28</v>
      </c>
      <c r="C4">
        <v>117</v>
      </c>
      <c r="D4">
        <v>625</v>
      </c>
      <c r="E4">
        <v>587</v>
      </c>
      <c r="F4">
        <v>1212</v>
      </c>
      <c r="G4">
        <v>2.7</v>
      </c>
      <c r="H4">
        <v>2582.3000000000002</v>
      </c>
      <c r="I4">
        <v>2050.69</v>
      </c>
      <c r="J4">
        <v>531.61</v>
      </c>
      <c r="K4">
        <v>2835</v>
      </c>
      <c r="L4">
        <v>2595.7399999999998</v>
      </c>
      <c r="M4">
        <v>3.4</v>
      </c>
      <c r="N4">
        <v>1E-3</v>
      </c>
      <c r="O4" t="s">
        <v>39</v>
      </c>
      <c r="P4">
        <f>J4*Итог!$B$2*G4%</f>
        <v>14353.470000000001</v>
      </c>
    </row>
    <row r="5" spans="1:16">
      <c r="A5" s="1">
        <v>7</v>
      </c>
      <c r="B5" t="s">
        <v>40</v>
      </c>
      <c r="C5">
        <v>11</v>
      </c>
      <c r="D5">
        <v>509</v>
      </c>
      <c r="E5">
        <v>608</v>
      </c>
      <c r="F5">
        <v>1117</v>
      </c>
      <c r="G5">
        <v>2.5</v>
      </c>
      <c r="H5">
        <v>2547.2199999999998</v>
      </c>
      <c r="I5">
        <v>2108.61</v>
      </c>
      <c r="J5">
        <v>438.61</v>
      </c>
      <c r="K5">
        <v>3023.7</v>
      </c>
      <c r="L5">
        <v>2663.04</v>
      </c>
      <c r="M5">
        <v>2.58</v>
      </c>
      <c r="N5">
        <v>0.01</v>
      </c>
      <c r="O5" t="s">
        <v>39</v>
      </c>
      <c r="P5">
        <f>J5*Итог!$B$2*G5%</f>
        <v>10965.25</v>
      </c>
    </row>
    <row r="6" spans="1:16">
      <c r="A6" s="1">
        <v>14</v>
      </c>
      <c r="B6" t="s">
        <v>41</v>
      </c>
      <c r="C6">
        <v>33</v>
      </c>
      <c r="D6">
        <v>232</v>
      </c>
      <c r="E6">
        <v>258</v>
      </c>
      <c r="F6">
        <v>490</v>
      </c>
      <c r="G6">
        <v>1.1000000000000001</v>
      </c>
      <c r="H6">
        <v>4598.22</v>
      </c>
      <c r="I6">
        <v>2311.39</v>
      </c>
      <c r="J6">
        <v>2286.83</v>
      </c>
      <c r="K6">
        <v>2931.23</v>
      </c>
      <c r="L6">
        <v>2371.77</v>
      </c>
      <c r="M6">
        <v>9.5299999999999994</v>
      </c>
      <c r="N6">
        <v>0</v>
      </c>
      <c r="O6" t="s">
        <v>39</v>
      </c>
      <c r="P6">
        <f>J6*Итог!$B$2*G6%</f>
        <v>25155.13</v>
      </c>
    </row>
    <row r="7" spans="1:16">
      <c r="A7" s="1">
        <v>16</v>
      </c>
      <c r="B7" t="s">
        <v>26</v>
      </c>
      <c r="C7">
        <v>1287</v>
      </c>
      <c r="D7">
        <v>370</v>
      </c>
      <c r="E7">
        <v>357</v>
      </c>
      <c r="F7">
        <v>727</v>
      </c>
      <c r="G7">
        <v>1.6</v>
      </c>
      <c r="H7">
        <v>2128.56</v>
      </c>
      <c r="I7">
        <v>1394.66</v>
      </c>
      <c r="J7">
        <v>733.9</v>
      </c>
      <c r="K7">
        <v>2437.38</v>
      </c>
      <c r="L7">
        <v>2338.46</v>
      </c>
      <c r="M7">
        <v>4.1399999999999997</v>
      </c>
      <c r="N7">
        <v>0</v>
      </c>
      <c r="O7" t="s">
        <v>39</v>
      </c>
      <c r="P7">
        <f>J7*Итог!$B$2*G7%</f>
        <v>11742.4</v>
      </c>
    </row>
    <row r="8" spans="1:16">
      <c r="A8" s="1">
        <v>18</v>
      </c>
      <c r="B8" t="s">
        <v>26</v>
      </c>
      <c r="C8">
        <v>1654</v>
      </c>
      <c r="D8">
        <v>799</v>
      </c>
      <c r="E8">
        <v>775</v>
      </c>
      <c r="F8">
        <v>1574</v>
      </c>
      <c r="G8">
        <v>3.5</v>
      </c>
      <c r="H8">
        <v>3132.3</v>
      </c>
      <c r="I8">
        <v>2507.89</v>
      </c>
      <c r="J8">
        <v>624.41</v>
      </c>
      <c r="K8">
        <v>3199.66</v>
      </c>
      <c r="L8">
        <v>2950.51</v>
      </c>
      <c r="M8">
        <v>4.0199999999999996</v>
      </c>
      <c r="N8">
        <v>0</v>
      </c>
      <c r="O8" t="s">
        <v>39</v>
      </c>
      <c r="P8">
        <f>J8*Итог!$B$2*G8%</f>
        <v>21854.350000000002</v>
      </c>
    </row>
    <row r="9" spans="1:16">
      <c r="A9" s="1">
        <v>27</v>
      </c>
      <c r="B9" t="s">
        <v>28</v>
      </c>
      <c r="C9">
        <v>900</v>
      </c>
      <c r="D9">
        <v>335</v>
      </c>
      <c r="E9">
        <v>341</v>
      </c>
      <c r="F9">
        <v>676</v>
      </c>
      <c r="G9">
        <v>1.5</v>
      </c>
      <c r="H9">
        <v>2450.9899999999998</v>
      </c>
      <c r="I9">
        <v>1689.79</v>
      </c>
      <c r="J9">
        <v>761.2</v>
      </c>
      <c r="K9">
        <v>2865.61</v>
      </c>
      <c r="L9">
        <v>2492.4699999999998</v>
      </c>
      <c r="M9">
        <v>3.69</v>
      </c>
      <c r="N9">
        <v>0</v>
      </c>
      <c r="O9" t="s">
        <v>39</v>
      </c>
      <c r="P9">
        <f>J9*Итог!$B$2*G9%</f>
        <v>11418</v>
      </c>
    </row>
    <row r="10" spans="1:16">
      <c r="A10" s="1">
        <v>29</v>
      </c>
      <c r="B10" t="s">
        <v>34</v>
      </c>
      <c r="C10">
        <v>991</v>
      </c>
      <c r="D10">
        <v>270</v>
      </c>
      <c r="E10">
        <v>294</v>
      </c>
      <c r="F10">
        <v>564</v>
      </c>
      <c r="G10">
        <v>1.2</v>
      </c>
      <c r="H10">
        <v>3249.28</v>
      </c>
      <c r="I10">
        <v>2452.9899999999998</v>
      </c>
      <c r="J10">
        <v>796.29</v>
      </c>
      <c r="K10">
        <v>4719.59</v>
      </c>
      <c r="L10">
        <v>3633.94</v>
      </c>
      <c r="M10">
        <v>2.2599999999999998</v>
      </c>
      <c r="N10">
        <v>2.5000000000000001E-2</v>
      </c>
      <c r="O10" t="s">
        <v>39</v>
      </c>
      <c r="P10">
        <f>J10*Итог!$B$2*G10%</f>
        <v>9555.48</v>
      </c>
    </row>
    <row r="11" spans="1:16">
      <c r="A11" s="1">
        <v>30</v>
      </c>
      <c r="B11" t="s">
        <v>41</v>
      </c>
      <c r="C11">
        <v>34</v>
      </c>
      <c r="D11">
        <v>225</v>
      </c>
      <c r="E11">
        <v>253</v>
      </c>
      <c r="F11">
        <v>478</v>
      </c>
      <c r="G11">
        <v>1.1000000000000001</v>
      </c>
      <c r="H11">
        <v>3104.51</v>
      </c>
      <c r="I11">
        <v>1752.61</v>
      </c>
      <c r="J11">
        <v>1351.9</v>
      </c>
      <c r="K11">
        <v>2956.83</v>
      </c>
      <c r="L11">
        <v>2529.6999999999998</v>
      </c>
      <c r="M11">
        <v>5.39</v>
      </c>
      <c r="N11">
        <v>0</v>
      </c>
      <c r="O11" t="s">
        <v>39</v>
      </c>
      <c r="P11">
        <f>J11*Итог!$B$2*G11%</f>
        <v>14870.900000000001</v>
      </c>
    </row>
    <row r="12" spans="1:16">
      <c r="A12" s="1">
        <v>32</v>
      </c>
      <c r="B12" t="s">
        <v>28</v>
      </c>
      <c r="C12">
        <v>213</v>
      </c>
      <c r="D12">
        <v>232</v>
      </c>
      <c r="E12">
        <v>255</v>
      </c>
      <c r="F12">
        <v>487</v>
      </c>
      <c r="G12">
        <v>1.1000000000000001</v>
      </c>
      <c r="H12">
        <v>2977.63</v>
      </c>
      <c r="I12">
        <v>2277.61</v>
      </c>
      <c r="J12">
        <v>700.02</v>
      </c>
      <c r="K12">
        <v>2905.49</v>
      </c>
      <c r="L12">
        <v>2710.04</v>
      </c>
      <c r="M12">
        <v>2.75</v>
      </c>
      <c r="N12">
        <v>6.0000000000000001E-3</v>
      </c>
      <c r="O12" t="s">
        <v>39</v>
      </c>
      <c r="P12">
        <f>J12*Итог!$B$2*G12%</f>
        <v>7700.2200000000012</v>
      </c>
    </row>
    <row r="13" spans="1:16">
      <c r="A13" s="1">
        <v>33</v>
      </c>
      <c r="B13" t="s">
        <v>41</v>
      </c>
      <c r="C13">
        <v>35</v>
      </c>
      <c r="D13">
        <v>214</v>
      </c>
      <c r="E13">
        <v>194</v>
      </c>
      <c r="F13">
        <v>408</v>
      </c>
      <c r="G13">
        <v>0.9</v>
      </c>
      <c r="H13">
        <v>2762.22</v>
      </c>
      <c r="I13">
        <v>1508.84</v>
      </c>
      <c r="J13">
        <v>1253.3800000000001</v>
      </c>
      <c r="K13">
        <v>2977.08</v>
      </c>
      <c r="L13">
        <v>2184.81</v>
      </c>
      <c r="M13">
        <v>4.8099999999999996</v>
      </c>
      <c r="N13">
        <v>0</v>
      </c>
      <c r="O13" t="s">
        <v>39</v>
      </c>
      <c r="P13">
        <f>J13*Итог!$B$2*G13%</f>
        <v>11280.420000000002</v>
      </c>
    </row>
    <row r="14" spans="1:16">
      <c r="A14" s="1">
        <v>39</v>
      </c>
      <c r="B14" t="s">
        <v>28</v>
      </c>
      <c r="C14">
        <v>801</v>
      </c>
      <c r="D14">
        <v>225</v>
      </c>
      <c r="E14">
        <v>212</v>
      </c>
      <c r="F14">
        <v>437</v>
      </c>
      <c r="G14">
        <v>1</v>
      </c>
      <c r="H14">
        <v>2925.14</v>
      </c>
      <c r="I14">
        <v>2352.2800000000002</v>
      </c>
      <c r="J14">
        <v>572.86</v>
      </c>
      <c r="K14">
        <v>2774.29</v>
      </c>
      <c r="L14">
        <v>2928.29</v>
      </c>
      <c r="M14">
        <v>2.1</v>
      </c>
      <c r="N14">
        <v>3.5999999999999997E-2</v>
      </c>
      <c r="O14" t="s">
        <v>39</v>
      </c>
      <c r="P14">
        <f>J14*Итог!$B$2*G14%</f>
        <v>5728.6</v>
      </c>
    </row>
    <row r="15" spans="1:16">
      <c r="A15" s="1">
        <v>42</v>
      </c>
      <c r="B15" t="s">
        <v>28</v>
      </c>
      <c r="C15">
        <v>573</v>
      </c>
      <c r="D15">
        <v>177</v>
      </c>
      <c r="E15">
        <v>160</v>
      </c>
      <c r="F15">
        <v>337</v>
      </c>
      <c r="G15">
        <v>0.7</v>
      </c>
      <c r="H15">
        <v>2929.05</v>
      </c>
      <c r="I15">
        <v>1641.21</v>
      </c>
      <c r="J15">
        <v>1287.8399999999999</v>
      </c>
      <c r="K15">
        <v>3201.1</v>
      </c>
      <c r="L15">
        <v>2619.04</v>
      </c>
      <c r="M15">
        <v>4.0199999999999996</v>
      </c>
      <c r="N15">
        <v>0</v>
      </c>
      <c r="O15" t="s">
        <v>39</v>
      </c>
      <c r="P15">
        <f>J15*Итог!$B$2*G15%</f>
        <v>9014.8799999999992</v>
      </c>
    </row>
    <row r="16" spans="1:16">
      <c r="A16" s="1">
        <v>43</v>
      </c>
      <c r="B16" t="s">
        <v>28</v>
      </c>
      <c r="C16">
        <v>891</v>
      </c>
      <c r="D16">
        <v>159</v>
      </c>
      <c r="E16">
        <v>167</v>
      </c>
      <c r="F16">
        <v>326</v>
      </c>
      <c r="G16">
        <v>0.7</v>
      </c>
      <c r="H16">
        <v>2618.9499999999998</v>
      </c>
      <c r="I16">
        <v>1980.66</v>
      </c>
      <c r="J16">
        <v>638.29</v>
      </c>
      <c r="K16">
        <v>2899.78</v>
      </c>
      <c r="L16">
        <v>2489.5700000000002</v>
      </c>
      <c r="M16">
        <v>2.14</v>
      </c>
      <c r="N16">
        <v>3.3000000000000002E-2</v>
      </c>
      <c r="O16" t="s">
        <v>39</v>
      </c>
      <c r="P16">
        <f>J16*Итог!$B$2*G16%</f>
        <v>4468.03</v>
      </c>
    </row>
    <row r="17" spans="1:16">
      <c r="A17" s="1">
        <v>45</v>
      </c>
      <c r="B17" t="s">
        <v>26</v>
      </c>
      <c r="C17">
        <v>1002</v>
      </c>
      <c r="D17">
        <v>138</v>
      </c>
      <c r="E17">
        <v>188</v>
      </c>
      <c r="F17">
        <v>326</v>
      </c>
      <c r="G17">
        <v>0.7</v>
      </c>
      <c r="H17">
        <v>4121.75</v>
      </c>
      <c r="I17">
        <v>1844.79</v>
      </c>
      <c r="J17">
        <v>2276.96</v>
      </c>
      <c r="K17">
        <v>4084.26</v>
      </c>
      <c r="L17">
        <v>2436.54</v>
      </c>
      <c r="M17">
        <v>6.27</v>
      </c>
      <c r="N17">
        <v>0</v>
      </c>
      <c r="O17" t="s">
        <v>39</v>
      </c>
      <c r="P17">
        <f>J17*Итог!$B$2*G17%</f>
        <v>15938.719999999998</v>
      </c>
    </row>
    <row r="18" spans="1:16">
      <c r="A18" s="1">
        <v>47</v>
      </c>
      <c r="B18" t="s">
        <v>41</v>
      </c>
      <c r="C18">
        <v>36</v>
      </c>
      <c r="D18">
        <v>131</v>
      </c>
      <c r="E18">
        <v>141</v>
      </c>
      <c r="F18">
        <v>272</v>
      </c>
      <c r="G18">
        <v>0.6</v>
      </c>
      <c r="H18">
        <v>1987.33</v>
      </c>
      <c r="I18">
        <v>860.42</v>
      </c>
      <c r="J18">
        <v>1126.9100000000001</v>
      </c>
      <c r="K18">
        <v>2718.5</v>
      </c>
      <c r="L18">
        <v>1840.83</v>
      </c>
      <c r="M18">
        <v>4.03</v>
      </c>
      <c r="N18">
        <v>0</v>
      </c>
      <c r="O18" t="s">
        <v>39</v>
      </c>
      <c r="P18">
        <f>J18*Итог!$B$2*G18%</f>
        <v>6761.46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Sharova Anastasiia</cp:lastModifiedBy>
  <cp:revision/>
  <dcterms:created xsi:type="dcterms:W3CDTF">2026-01-23T11:27:15Z</dcterms:created>
  <dcterms:modified xsi:type="dcterms:W3CDTF">2026-02-04T15:09:33Z</dcterms:modified>
  <cp:category/>
  <cp:contentStatus/>
</cp:coreProperties>
</file>